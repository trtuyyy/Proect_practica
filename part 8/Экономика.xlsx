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guu\part 8\"/>
    </mc:Choice>
  </mc:AlternateContent>
  <xr:revisionPtr revIDLastSave="0" documentId="8_{1A3EA022-E06F-4146-877D-72B13B1E622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Экономика" sheetId="1" r:id="rId1"/>
    <sheet name="Чувствительность" sheetId="2" r:id="rId2"/>
    <sheet name="Допущени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1" l="1"/>
  <c r="C79" i="1"/>
  <c r="C78" i="1"/>
  <c r="B30" i="1"/>
  <c r="B21" i="1"/>
  <c r="D34" i="1" s="1"/>
  <c r="B12" i="1"/>
  <c r="D11" i="1"/>
  <c r="D10" i="1"/>
  <c r="D12" i="1" s="1"/>
  <c r="D9" i="1"/>
  <c r="D8" i="1"/>
  <c r="D7" i="1"/>
  <c r="D6" i="1"/>
  <c r="E80" i="1" l="1"/>
  <c r="B76" i="1"/>
  <c r="B72" i="1"/>
  <c r="B68" i="1"/>
  <c r="B64" i="1"/>
  <c r="B60" i="1"/>
  <c r="B56" i="1"/>
  <c r="B52" i="1"/>
  <c r="B48" i="1"/>
  <c r="B74" i="1"/>
  <c r="B70" i="1"/>
  <c r="B66" i="1"/>
  <c r="B62" i="1"/>
  <c r="B58" i="1"/>
  <c r="B54" i="1"/>
  <c r="B50" i="1"/>
  <c r="E69" i="1"/>
  <c r="E61" i="1"/>
  <c r="E49" i="1"/>
  <c r="D65" i="1"/>
  <c r="D53" i="1"/>
  <c r="B80" i="1"/>
  <c r="E79" i="1"/>
  <c r="B75" i="1"/>
  <c r="B71" i="1"/>
  <c r="B67" i="1"/>
  <c r="B63" i="1"/>
  <c r="B59" i="1"/>
  <c r="B55" i="1"/>
  <c r="B51" i="1"/>
  <c r="B47" i="1"/>
  <c r="D33" i="1"/>
  <c r="B46" i="1"/>
  <c r="E73" i="1"/>
  <c r="E65" i="1"/>
  <c r="E57" i="1"/>
  <c r="E53" i="1"/>
  <c r="E45" i="1"/>
  <c r="D73" i="1"/>
  <c r="D61" i="1"/>
  <c r="D57" i="1"/>
  <c r="D49" i="1"/>
  <c r="B79" i="1"/>
  <c r="E78" i="1"/>
  <c r="D78" i="1"/>
  <c r="B78" i="1"/>
  <c r="E77" i="1"/>
  <c r="D77" i="1"/>
  <c r="B73" i="1"/>
  <c r="B69" i="1"/>
  <c r="B65" i="1"/>
  <c r="B61" i="1"/>
  <c r="B57" i="1"/>
  <c r="B53" i="1"/>
  <c r="B49" i="1"/>
  <c r="B45" i="1"/>
  <c r="D69" i="1"/>
  <c r="D45" i="1"/>
  <c r="B77" i="1"/>
  <c r="D80" i="1"/>
  <c r="C46" i="1"/>
  <c r="C50" i="1"/>
  <c r="C54" i="1"/>
  <c r="C58" i="1"/>
  <c r="C62" i="1"/>
  <c r="C66" i="1"/>
  <c r="C70" i="1"/>
  <c r="C74" i="1"/>
  <c r="D46" i="1"/>
  <c r="D58" i="1"/>
  <c r="D66" i="1"/>
  <c r="D74" i="1"/>
  <c r="E47" i="1"/>
  <c r="E59" i="1"/>
  <c r="E48" i="1"/>
  <c r="E52" i="1"/>
  <c r="E56" i="1"/>
  <c r="E60" i="1"/>
  <c r="E64" i="1"/>
  <c r="E68" i="1"/>
  <c r="E72" i="1"/>
  <c r="E76" i="1"/>
  <c r="C45" i="1"/>
  <c r="C49" i="1"/>
  <c r="C53" i="1"/>
  <c r="C57" i="1"/>
  <c r="C61" i="1"/>
  <c r="C65" i="1"/>
  <c r="C69" i="1"/>
  <c r="C73" i="1"/>
  <c r="C77" i="1"/>
  <c r="E46" i="1"/>
  <c r="E50" i="1"/>
  <c r="E54" i="1"/>
  <c r="E58" i="1"/>
  <c r="E62" i="1"/>
  <c r="E66" i="1"/>
  <c r="E70" i="1"/>
  <c r="E74" i="1"/>
  <c r="C47" i="1"/>
  <c r="C51" i="1"/>
  <c r="C55" i="1"/>
  <c r="C59" i="1"/>
  <c r="C63" i="1"/>
  <c r="C67" i="1"/>
  <c r="C71" i="1"/>
  <c r="C75" i="1"/>
  <c r="D35" i="1"/>
  <c r="D47" i="1"/>
  <c r="D51" i="1"/>
  <c r="D55" i="1"/>
  <c r="D59" i="1"/>
  <c r="D63" i="1"/>
  <c r="D67" i="1"/>
  <c r="D71" i="1"/>
  <c r="D75" i="1"/>
  <c r="D79" i="1"/>
  <c r="D50" i="1"/>
  <c r="D54" i="1"/>
  <c r="D62" i="1"/>
  <c r="D70" i="1"/>
  <c r="D36" i="1"/>
  <c r="D41" i="1" s="1"/>
  <c r="E51" i="1"/>
  <c r="E55" i="1"/>
  <c r="E63" i="1"/>
  <c r="E67" i="1"/>
  <c r="E71" i="1"/>
  <c r="E75" i="1"/>
  <c r="C48" i="1"/>
  <c r="C52" i="1"/>
  <c r="C56" i="1"/>
  <c r="C60" i="1"/>
  <c r="C64" i="1"/>
  <c r="C68" i="1"/>
  <c r="C72" i="1"/>
  <c r="C76" i="1"/>
  <c r="D48" i="1"/>
  <c r="D52" i="1"/>
  <c r="D56" i="1"/>
  <c r="D60" i="1"/>
  <c r="D64" i="1"/>
  <c r="D68" i="1"/>
  <c r="D72" i="1"/>
  <c r="D76" i="1"/>
  <c r="D40" i="1" l="1"/>
  <c r="D39" i="1"/>
  <c r="D38" i="1"/>
</calcChain>
</file>

<file path=xl/sharedStrings.xml><?xml version="1.0" encoding="utf-8"?>
<sst xmlns="http://schemas.openxmlformats.org/spreadsheetml/2006/main" count="124" uniqueCount="123">
  <si>
    <t>🦷  ЭКОНОМИКА ВКР — ИС Стоматологической клиники</t>
  </si>
  <si>
    <t>Синий текст = ввод (меняй сам)  |  Чёрный = формула (авто)  |  Жёлтый фон = ключевые допущения</t>
  </si>
  <si>
    <t>1. ПАРАМЕТРЫ РАЗРАБОТКИ</t>
  </si>
  <si>
    <t>Вид работ</t>
  </si>
  <si>
    <t>Трудоёмкость (ч)</t>
  </si>
  <si>
    <t>Ставка (₽/ч)</t>
  </si>
  <si>
    <t>Стоимость (₽)</t>
  </si>
  <si>
    <t>Проектирование (C4, БД, API)</t>
  </si>
  <si>
    <t>Backend (Kotlin Spring Boot)</t>
  </si>
  <si>
    <t>Frontend (React + ToothChart)</t>
  </si>
  <si>
    <t>DevOps (Docker, CI/CD)</t>
  </si>
  <si>
    <t>Тестирование (Playwright+Locust)</t>
  </si>
  <si>
    <t>Документация</t>
  </si>
  <si>
    <t>ИТОГО разработка</t>
  </si>
  <si>
    <t>2. ЕЖЕМЕСЯЧНЫЕ ЗАТРАТЫ НА ИНФРАСТРУКТУРУ</t>
  </si>
  <si>
    <t>Статья расходов</t>
  </si>
  <si>
    <t>Стоимость (₽/мес)</t>
  </si>
  <si>
    <t>VPS сервер (2 CPU / 4 GB RAM / 40 GB SSD)</t>
  </si>
  <si>
    <t>Резервные копии (pg_dump + S3-хранилище)</t>
  </si>
  <si>
    <t>SSL-сертификат (Let's Encrypt)</t>
  </si>
  <si>
    <t>Prometheus + Grafana (self-hosted)</t>
  </si>
  <si>
    <t>Домен (.ru / .com)</t>
  </si>
  <si>
    <t>ИТОГО инфраструктура / мес</t>
  </si>
  <si>
    <t>3. ЕЖЕМЕСЯЧНАЯ ЭКОНОМИЯ ОТ ВНЕДРЕНИЯ СИСТЕМЫ</t>
  </si>
  <si>
    <t>Источник экономии</t>
  </si>
  <si>
    <t>Экономия (₽/мес)</t>
  </si>
  <si>
    <t>Обоснование</t>
  </si>
  <si>
    <t>Сокращение времени регистратора</t>
  </si>
  <si>
    <t>50 пац × 8 мин × 250 ₽/ч</t>
  </si>
  <si>
    <t>Точный учёт материалов (snapshot)</t>
  </si>
  <si>
    <t>Нет ошибок при пересчёте счёта</t>
  </si>
  <si>
    <t>DisplayBoard: без ручного обзвона</t>
  </si>
  <si>
    <t>2 ч/день × 22 дня × 300 ₽/ч</t>
  </si>
  <si>
    <t>Снижение ошибок → меньше перелечений</t>
  </si>
  <si>
    <t>История каждого зуба в ИС</t>
  </si>
  <si>
    <t>Аналитика (Dash): нет ручных отчётов</t>
  </si>
  <si>
    <t>4 ч/нед × 4 нед × 500 ₽/ч</t>
  </si>
  <si>
    <t>ИТОГО экономия / мес</t>
  </si>
  <si>
    <t>4. СВОДНЫЙ РАСЧЁТ И ОКУПАЕМОСТЬ</t>
  </si>
  <si>
    <t>Единовременные затраты на разработку</t>
  </si>
  <si>
    <t>Ежемесячные затраты на инфраструктуру</t>
  </si>
  <si>
    <t>Ежемесячная экономия от системы</t>
  </si>
  <si>
    <t>Чистая ежемесячная выгода</t>
  </si>
  <si>
    <t>Горизонт расчёта (лет)</t>
  </si>
  <si>
    <t>Срок окупаемости (Payback Period)</t>
  </si>
  <si>
    <t>Суммарная экономия за горизонт (без инвест.)</t>
  </si>
  <si>
    <t>Чистая выгода за горизонт (NPV упрощ.)</t>
  </si>
  <si>
    <t>ROI (Return on Investment)</t>
  </si>
  <si>
    <t>5. ПРОГНОЗ ДЕНЕЖНОГО ПОТОКА (помесячно)</t>
  </si>
  <si>
    <t>Месяц</t>
  </si>
  <si>
    <t>Накоп. инвест. (₽)</t>
  </si>
  <si>
    <t>Накоп. экономия (₽)</t>
  </si>
  <si>
    <t>Накоп. баланс (₽)</t>
  </si>
  <si>
    <t>Статус</t>
  </si>
  <si>
    <t>ЛЕГЕНДА:  🔵 Синий текст = вводимые данные (допущения, меняй под свой проект)  |  ⚫ Чёрный = формула  |  🟡 Жёлтый фон = ключевые ячейки ввода</t>
  </si>
  <si>
    <t>АНАЛИЗ ЧУВСТВИТЕЛЬНОСТИ — срок окупаемости (мес)</t>
  </si>
  <si>
    <t>Как меняется срок окупаемости при разных ставках разработчика и уровне экономии</t>
  </si>
  <si>
    <t>Строки = средняя ставка разработчика (₽/ч)  |  Столбцы = ежемесячная экономия (₽/мес)</t>
  </si>
  <si>
    <t>Ставка (₽/ч) \ Экономия (₽/мес)</t>
  </si>
  <si>
    <t>КЛЮЧЕВЫЕ ДОПУЩЕНИЯ ЭКОНОМИЧЕСКОГО РАСЧЁТА</t>
  </si>
  <si>
    <t>КЛИНИКА</t>
  </si>
  <si>
    <t>Число врачей</t>
  </si>
  <si>
    <t>3–5</t>
  </si>
  <si>
    <t>Типичная частная клиника</t>
  </si>
  <si>
    <t>Приёмов в день</t>
  </si>
  <si>
    <t>30–50</t>
  </si>
  <si>
    <t>Режим: 5 дней в неделю</t>
  </si>
  <si>
    <t>Рабочих дней в месяц</t>
  </si>
  <si>
    <t>22</t>
  </si>
  <si>
    <t>Стандартный производственный календарь</t>
  </si>
  <si>
    <t>РАЗРАБОТКА</t>
  </si>
  <si>
    <t>Общая трудоёмкость</t>
  </si>
  <si>
    <t>350 ч</t>
  </si>
  <si>
    <t>По оценке задания (спринты 1–9)</t>
  </si>
  <si>
    <t>Ставка (средняя)</t>
  </si>
  <si>
    <t>1800 ₽/ч</t>
  </si>
  <si>
    <t>Джуниор–мидл разработчики</t>
  </si>
  <si>
    <t>Риск-резерв</t>
  </si>
  <si>
    <t>0%</t>
  </si>
  <si>
    <t>Без резерва (учебный проект)</t>
  </si>
  <si>
    <t>ИНФРАСТРУКТУРА</t>
  </si>
  <si>
    <t>VPS сервер</t>
  </si>
  <si>
    <t>4000 ₽/мес</t>
  </si>
  <si>
    <t>2 CPU / 4 GB / 40 GB, Yandex Cloud / Timeweb</t>
  </si>
  <si>
    <t>Бэкапы</t>
  </si>
  <si>
    <t>800 ₽/мес</t>
  </si>
  <si>
    <t>pg_dump → S3 20 GB</t>
  </si>
  <si>
    <t>Домен</t>
  </si>
  <si>
    <t>100 ₽/мес</t>
  </si>
  <si>
    <t>Лицензии (ПО)</t>
  </si>
  <si>
    <t>0 ₽</t>
  </si>
  <si>
    <t>Весь стек Open Source (PostgreSQL, Spring, React)</t>
  </si>
  <si>
    <t>ЭКОНОМИЯ — МЕТОДОЛОГИЯ</t>
  </si>
  <si>
    <t>Время регистратора</t>
  </si>
  <si>
    <t>8 мин → 2 мин</t>
  </si>
  <si>
    <t>50 пац × 6 мин × 250 ₽/ч = 12500 ₽/мес</t>
  </si>
  <si>
    <t>Ставка регистратора</t>
  </si>
  <si>
    <t>250 ₽/ч</t>
  </si>
  <si>
    <t>~40 000 ₽/мес gross ÷ 160 ч</t>
  </si>
  <si>
    <t>Контроль материалов</t>
  </si>
  <si>
    <t>10 000 ₽/мес</t>
  </si>
  <si>
    <t>Экспертная оценка: снижение потерь</t>
  </si>
  <si>
    <t>DisplayBoard</t>
  </si>
  <si>
    <t>5 000 ₽/мес</t>
  </si>
  <si>
    <t>2 ч/день × 22 × 300 ₽/ч</t>
  </si>
  <si>
    <t>Снижение перелечений</t>
  </si>
  <si>
    <t>8 000 ₽/мес</t>
  </si>
  <si>
    <t>Экспертная оценка врача-эксперта</t>
  </si>
  <si>
    <t>Аналитика (Dash)</t>
  </si>
  <si>
    <t>4 ч/нед × 4 нед × 500 ₽/ч (ставка менеджера)</t>
  </si>
  <si>
    <t>ГОРИЗОНТ</t>
  </si>
  <si>
    <t>Срок расчёта</t>
  </si>
  <si>
    <t>3 года</t>
  </si>
  <si>
    <t>Типичный горизонт для IT-проекта в МСБ</t>
  </si>
  <si>
    <t>Инфляция</t>
  </si>
  <si>
    <t>Не учтена</t>
  </si>
  <si>
    <t>Упрощение для учебного проекта</t>
  </si>
  <si>
    <t>Ставка дисконтирования</t>
  </si>
  <si>
    <t>Не применяется</t>
  </si>
  <si>
    <t>NPV = упрощённый (без дисконтирования)</t>
  </si>
  <si>
    <t xml:space="preserve"> ≤ 12 мес — отличная окупаемость</t>
  </si>
  <si>
    <t xml:space="preserve"> 13–24 мес — приемлемая окупаемость</t>
  </si>
  <si>
    <t xml:space="preserve"> &gt; 24 мес — длинная окупаемость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</si>
</sst>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\(#,##0\);&quot;-&quot;"/>
    <numFmt numFmtId="165" formatCode="#,##0\ &quot;₽&quot;;\(#,##0\ &quot;₽&quot;\);&quot;-&quot;"/>
    <numFmt numFmtId="166" formatCode="#,##0\ &quot;₽/мес&quot;;\(#,##0\ &quot;₽/мес&quot;\);&quot;-&quot;"/>
    <numFmt numFmtId="167" formatCode="0\ &quot;лет&quot;"/>
    <numFmt numFmtId="168" formatCode="0.0\ &quot;мес&quot;"/>
    <numFmt numFmtId="169" formatCode="0.0%"/>
    <numFmt numFmtId="170" formatCode="0\ &quot;мес&quot;"/>
    <numFmt numFmtId="171" formatCode="#,##0\ &quot;₽/ч&quot;"/>
    <numFmt numFmtId="172" formatCode="0.0\ \м\е\с"/>
    <numFmt numFmtId="173" formatCode="#,##0\ &quot;₽&quot;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b/>
      <sz val="9"/>
      <color rgb="FF1E3A5F"/>
      <name val="Arial"/>
    </font>
    <font>
      <sz val="10"/>
      <color rgb="FF333333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1"/>
      <color rgb="FFFFFFFF"/>
      <name val="Arial"/>
    </font>
    <font>
      <b/>
      <sz val="13"/>
      <color rgb="FFFFFFFF"/>
      <name val="Arial"/>
    </font>
    <font>
      <b/>
      <sz val="10"/>
      <color rgb="FF1E3A5F"/>
      <name val="Arial"/>
    </font>
    <font>
      <sz val="9"/>
      <color rgb="FF0000FF"/>
      <name val="Arial"/>
    </font>
    <font>
      <b/>
      <sz val="9"/>
      <color rgb="FF856404"/>
      <name val="Arial"/>
    </font>
    <font>
      <b/>
      <sz val="9"/>
      <color rgb="FF1A6B3C"/>
      <name val="Arial"/>
    </font>
    <font>
      <b/>
      <sz val="9"/>
      <color rgb="FF842029"/>
      <name val="Arial"/>
    </font>
  </fonts>
  <fills count="17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F0F4F8"/>
      </patternFill>
    </fill>
    <fill>
      <patternFill patternType="solid">
        <fgColor rgb="FF1E3A5F"/>
      </patternFill>
    </fill>
    <fill>
      <patternFill patternType="solid">
        <fgColor rgb="FFD6E4F0"/>
      </patternFill>
    </fill>
    <fill>
      <patternFill patternType="solid">
        <fgColor rgb="FFF8FAFC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17375E"/>
      </patternFill>
    </fill>
    <fill>
      <patternFill patternType="solid">
        <fgColor rgb="FFD4EDDA"/>
      </patternFill>
    </fill>
    <fill>
      <patternFill patternType="solid">
        <fgColor rgb="FFFAFFF8"/>
      </patternFill>
    </fill>
    <fill>
      <patternFill patternType="solid">
        <fgColor rgb="FF1A6B3C"/>
      </patternFill>
    </fill>
    <fill>
      <patternFill patternType="solid">
        <fgColor rgb="FFFCE8E6"/>
      </patternFill>
    </fill>
    <fill>
      <patternFill patternType="solid">
        <fgColor rgb="FFFEF9C3"/>
      </patternFill>
    </fill>
    <fill>
      <patternFill patternType="solid">
        <fgColor rgb="FFE6F1FB"/>
      </patternFill>
    </fill>
    <fill>
      <patternFill patternType="solid">
        <fgColor rgb="FFF8D7DA"/>
      </patternFill>
    </fill>
  </fills>
  <borders count="7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1E3A5F"/>
      </top>
      <bottom style="medium">
        <color rgb="FF1E3A5F"/>
      </bottom>
      <diagonal/>
    </border>
    <border>
      <left/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64" fontId="6" fillId="7" borderId="2" xfId="0" applyNumberFormat="1" applyFont="1" applyFill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165" fontId="7" fillId="8" borderId="2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164" fontId="9" fillId="9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5" fontId="9" fillId="9" borderId="1" xfId="0" applyNumberFormat="1" applyFont="1" applyFill="1" applyBorder="1" applyAlignment="1">
      <alignment horizontal="center" vertical="center"/>
    </xf>
    <xf numFmtId="166" fontId="6" fillId="7" borderId="2" xfId="0" applyNumberFormat="1" applyFont="1" applyFill="1" applyBorder="1" applyAlignment="1">
      <alignment horizontal="center" vertical="center"/>
    </xf>
    <xf numFmtId="166" fontId="9" fillId="9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/>
    </xf>
    <xf numFmtId="166" fontId="9" fillId="12" borderId="1" xfId="0" applyNumberFormat="1" applyFont="1" applyFill="1" applyBorder="1" applyAlignment="1">
      <alignment horizontal="center" vertical="center"/>
    </xf>
    <xf numFmtId="170" fontId="5" fillId="8" borderId="2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70" fontId="5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3" fontId="13" fillId="7" borderId="2" xfId="0" applyNumberFormat="1" applyFont="1" applyFill="1" applyBorder="1" applyAlignment="1">
      <alignment horizontal="center" vertical="center"/>
    </xf>
    <xf numFmtId="171" fontId="13" fillId="7" borderId="2" xfId="0" applyNumberFormat="1" applyFont="1" applyFill="1" applyBorder="1" applyAlignment="1">
      <alignment horizontal="center" vertical="center"/>
    </xf>
    <xf numFmtId="168" fontId="14" fillId="7" borderId="2" xfId="0" applyNumberFormat="1" applyFont="1" applyFill="1" applyBorder="1" applyAlignment="1">
      <alignment horizontal="center" vertical="center"/>
    </xf>
    <xf numFmtId="168" fontId="15" fillId="10" borderId="2" xfId="0" applyNumberFormat="1" applyFont="1" applyFill="1" applyBorder="1" applyAlignment="1">
      <alignment horizontal="center" vertical="center"/>
    </xf>
    <xf numFmtId="168" fontId="16" fillId="16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0" fillId="8" borderId="0" xfId="0" applyFill="1"/>
    <xf numFmtId="0" fontId="8" fillId="14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5" fillId="7" borderId="2" xfId="0" applyFont="1" applyFill="1" applyBorder="1" applyAlignment="1">
      <alignment horizontal="left" vertical="center"/>
    </xf>
    <xf numFmtId="169" fontId="8" fillId="14" borderId="2" xfId="0" applyNumberFormat="1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5" fillId="13" borderId="2" xfId="0" applyFont="1" applyFill="1" applyBorder="1" applyAlignment="1">
      <alignment horizontal="left" vertical="center"/>
    </xf>
    <xf numFmtId="167" fontId="6" fillId="7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0" fillId="12" borderId="1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173" fontId="7" fillId="10" borderId="2" xfId="0" applyNumberFormat="1" applyFont="1" applyFill="1" applyBorder="1" applyAlignment="1">
      <alignment horizontal="center" vertical="center"/>
    </xf>
    <xf numFmtId="165" fontId="7" fillId="13" borderId="2" xfId="0" applyNumberFormat="1" applyFont="1" applyFill="1" applyBorder="1" applyAlignment="1">
      <alignment horizontal="center" vertical="center"/>
    </xf>
    <xf numFmtId="172" fontId="8" fillId="14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left" vertical="center"/>
    </xf>
    <xf numFmtId="166" fontId="7" fillId="10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left" vertical="center"/>
    </xf>
    <xf numFmtId="166" fontId="7" fillId="1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3" fontId="8" fillId="10" borderId="2" xfId="0" applyNumberFormat="1" applyFont="1" applyFill="1" applyBorder="1" applyAlignment="1">
      <alignment horizontal="center" vertical="center"/>
    </xf>
    <xf numFmtId="166" fontId="8" fillId="10" borderId="2" xfId="0" applyNumberFormat="1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6" fillId="16" borderId="2" xfId="0" applyFont="1" applyFill="1" applyBorder="1" applyAlignment="1">
      <alignment horizontal="left" vertical="center"/>
    </xf>
    <xf numFmtId="0" fontId="12" fillId="15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/>
    </xf>
    <xf numFmtId="0" fontId="12" fillId="15" borderId="2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showGridLines="0" tabSelected="1" topLeftCell="A16" workbookViewId="0">
      <selection sqref="A1:F1"/>
    </sheetView>
  </sheetViews>
  <sheetFormatPr defaultRowHeight="14.5" x14ac:dyDescent="0.35"/>
  <cols>
    <col min="1" max="1" width="32" customWidth="1"/>
    <col min="2" max="5" width="16" customWidth="1"/>
    <col min="6" max="6" width="22" customWidth="1"/>
  </cols>
  <sheetData>
    <row r="1" spans="1:6" ht="36" customHeight="1" x14ac:dyDescent="0.35">
      <c r="A1" s="56" t="s">
        <v>0</v>
      </c>
      <c r="B1" s="44"/>
      <c r="C1" s="44"/>
      <c r="D1" s="44"/>
      <c r="E1" s="44"/>
      <c r="F1" s="45"/>
    </row>
    <row r="2" spans="1:6" x14ac:dyDescent="0.35">
      <c r="A2" s="39" t="s">
        <v>1</v>
      </c>
      <c r="B2" s="40"/>
      <c r="C2" s="40"/>
      <c r="D2" s="40"/>
      <c r="E2" s="40"/>
      <c r="F2" s="40"/>
    </row>
    <row r="3" spans="1:6" ht="6" customHeight="1" x14ac:dyDescent="0.35"/>
    <row r="4" spans="1:6" ht="22" customHeight="1" x14ac:dyDescent="0.35">
      <c r="A4" s="43" t="s">
        <v>2</v>
      </c>
      <c r="B4" s="44"/>
      <c r="C4" s="44"/>
      <c r="D4" s="44"/>
      <c r="E4" s="44"/>
      <c r="F4" s="45"/>
    </row>
    <row r="5" spans="1:6" x14ac:dyDescent="0.35">
      <c r="A5" s="1" t="s">
        <v>3</v>
      </c>
      <c r="B5" s="2" t="s">
        <v>4</v>
      </c>
      <c r="C5" s="2" t="s">
        <v>5</v>
      </c>
      <c r="D5" s="2" t="s">
        <v>6</v>
      </c>
      <c r="E5" s="2"/>
      <c r="F5" s="2"/>
    </row>
    <row r="6" spans="1:6" x14ac:dyDescent="0.35">
      <c r="A6" s="3" t="s">
        <v>7</v>
      </c>
      <c r="B6" s="4">
        <v>40</v>
      </c>
      <c r="C6" s="5">
        <v>1500</v>
      </c>
      <c r="D6" s="6">
        <f t="shared" ref="D6:D11" si="0">B6*C6</f>
        <v>60000</v>
      </c>
    </row>
    <row r="7" spans="1:6" x14ac:dyDescent="0.35">
      <c r="A7" s="7" t="s">
        <v>8</v>
      </c>
      <c r="B7" s="4">
        <v>120</v>
      </c>
      <c r="C7" s="5">
        <v>2000</v>
      </c>
      <c r="D7" s="8">
        <f t="shared" si="0"/>
        <v>240000</v>
      </c>
    </row>
    <row r="8" spans="1:6" x14ac:dyDescent="0.35">
      <c r="A8" s="3" t="s">
        <v>9</v>
      </c>
      <c r="B8" s="4">
        <v>100</v>
      </c>
      <c r="C8" s="5">
        <v>1800</v>
      </c>
      <c r="D8" s="6">
        <f t="shared" si="0"/>
        <v>180000</v>
      </c>
    </row>
    <row r="9" spans="1:6" x14ac:dyDescent="0.35">
      <c r="A9" s="7" t="s">
        <v>10</v>
      </c>
      <c r="B9" s="4">
        <v>30</v>
      </c>
      <c r="C9" s="5">
        <v>2000</v>
      </c>
      <c r="D9" s="8">
        <f t="shared" si="0"/>
        <v>60000</v>
      </c>
    </row>
    <row r="10" spans="1:6" x14ac:dyDescent="0.35">
      <c r="A10" s="3" t="s">
        <v>11</v>
      </c>
      <c r="B10" s="4">
        <v>40</v>
      </c>
      <c r="C10" s="5">
        <v>1500</v>
      </c>
      <c r="D10" s="6">
        <f t="shared" si="0"/>
        <v>60000</v>
      </c>
    </row>
    <row r="11" spans="1:6" x14ac:dyDescent="0.35">
      <c r="A11" s="7" t="s">
        <v>12</v>
      </c>
      <c r="B11" s="4">
        <v>20</v>
      </c>
      <c r="C11" s="5">
        <v>1000</v>
      </c>
      <c r="D11" s="8">
        <f t="shared" si="0"/>
        <v>20000</v>
      </c>
    </row>
    <row r="12" spans="1:6" ht="18" customHeight="1" x14ac:dyDescent="0.35">
      <c r="A12" s="9" t="s">
        <v>13</v>
      </c>
      <c r="B12" s="10">
        <f>SUM(B6:B11)</f>
        <v>350</v>
      </c>
      <c r="C12" s="11"/>
      <c r="D12" s="12">
        <f>SUM(D6:D11)</f>
        <v>620000</v>
      </c>
    </row>
    <row r="14" spans="1:6" ht="22" customHeight="1" x14ac:dyDescent="0.35">
      <c r="A14" s="43" t="s">
        <v>14</v>
      </c>
      <c r="B14" s="44"/>
      <c r="C14" s="44"/>
      <c r="D14" s="44"/>
      <c r="E14" s="44"/>
      <c r="F14" s="45"/>
    </row>
    <row r="15" spans="1:6" x14ac:dyDescent="0.35">
      <c r="A15" s="1" t="s">
        <v>15</v>
      </c>
      <c r="B15" s="2" t="s">
        <v>16</v>
      </c>
      <c r="C15" s="2"/>
      <c r="D15" s="2"/>
      <c r="E15" s="2"/>
      <c r="F15" s="2"/>
    </row>
    <row r="16" spans="1:6" x14ac:dyDescent="0.35">
      <c r="A16" s="3" t="s">
        <v>17</v>
      </c>
      <c r="B16" s="13">
        <v>4000</v>
      </c>
      <c r="C16" s="3"/>
      <c r="D16" s="3"/>
      <c r="E16" s="3"/>
      <c r="F16" s="3"/>
    </row>
    <row r="17" spans="1:6" x14ac:dyDescent="0.35">
      <c r="A17" s="7" t="s">
        <v>18</v>
      </c>
      <c r="B17" s="13">
        <v>800</v>
      </c>
      <c r="C17" s="7"/>
      <c r="D17" s="7"/>
      <c r="E17" s="7"/>
      <c r="F17" s="7"/>
    </row>
    <row r="18" spans="1:6" x14ac:dyDescent="0.35">
      <c r="A18" s="3" t="s">
        <v>19</v>
      </c>
      <c r="B18" s="13">
        <v>0</v>
      </c>
      <c r="C18" s="3"/>
      <c r="D18" s="3"/>
      <c r="E18" s="3"/>
      <c r="F18" s="3"/>
    </row>
    <row r="19" spans="1:6" x14ac:dyDescent="0.35">
      <c r="A19" s="7" t="s">
        <v>20</v>
      </c>
      <c r="B19" s="13">
        <v>0</v>
      </c>
      <c r="C19" s="7"/>
      <c r="D19" s="7"/>
      <c r="E19" s="7"/>
      <c r="F19" s="7"/>
    </row>
    <row r="20" spans="1:6" x14ac:dyDescent="0.35">
      <c r="A20" s="3" t="s">
        <v>21</v>
      </c>
      <c r="B20" s="13">
        <v>100</v>
      </c>
      <c r="C20" s="3"/>
      <c r="D20" s="3"/>
      <c r="E20" s="3"/>
      <c r="F20" s="3"/>
    </row>
    <row r="21" spans="1:6" x14ac:dyDescent="0.35">
      <c r="A21" s="9" t="s">
        <v>22</v>
      </c>
      <c r="B21" s="14">
        <f>SUM(B16:B20)</f>
        <v>4900</v>
      </c>
      <c r="C21" s="15"/>
      <c r="D21" s="15"/>
      <c r="E21" s="15"/>
      <c r="F21" s="15"/>
    </row>
    <row r="23" spans="1:6" ht="22" customHeight="1" x14ac:dyDescent="0.35">
      <c r="A23" s="43" t="s">
        <v>23</v>
      </c>
      <c r="B23" s="44"/>
      <c r="C23" s="44"/>
      <c r="D23" s="44"/>
      <c r="E23" s="44"/>
      <c r="F23" s="45"/>
    </row>
    <row r="24" spans="1:6" x14ac:dyDescent="0.35">
      <c r="A24" s="1" t="s">
        <v>24</v>
      </c>
      <c r="B24" s="2" t="s">
        <v>25</v>
      </c>
      <c r="C24" s="2" t="s">
        <v>26</v>
      </c>
      <c r="D24" s="2"/>
      <c r="E24" s="2"/>
      <c r="F24" s="2"/>
    </row>
    <row r="25" spans="1:6" x14ac:dyDescent="0.35">
      <c r="A25" s="16" t="s">
        <v>27</v>
      </c>
      <c r="B25" s="13">
        <v>15000</v>
      </c>
      <c r="C25" s="51" t="s">
        <v>28</v>
      </c>
      <c r="D25" s="34"/>
      <c r="E25" s="34"/>
      <c r="F25" s="35"/>
    </row>
    <row r="26" spans="1:6" x14ac:dyDescent="0.35">
      <c r="A26" s="17" t="s">
        <v>29</v>
      </c>
      <c r="B26" s="13">
        <v>10000</v>
      </c>
      <c r="C26" s="38" t="s">
        <v>30</v>
      </c>
      <c r="D26" s="34"/>
      <c r="E26" s="34"/>
      <c r="F26" s="35"/>
    </row>
    <row r="27" spans="1:6" x14ac:dyDescent="0.35">
      <c r="A27" s="16" t="s">
        <v>31</v>
      </c>
      <c r="B27" s="13">
        <v>5000</v>
      </c>
      <c r="C27" s="51" t="s">
        <v>32</v>
      </c>
      <c r="D27" s="34"/>
      <c r="E27" s="34"/>
      <c r="F27" s="35"/>
    </row>
    <row r="28" spans="1:6" x14ac:dyDescent="0.35">
      <c r="A28" s="17" t="s">
        <v>33</v>
      </c>
      <c r="B28" s="13">
        <v>8000</v>
      </c>
      <c r="C28" s="38" t="s">
        <v>34</v>
      </c>
      <c r="D28" s="34"/>
      <c r="E28" s="34"/>
      <c r="F28" s="35"/>
    </row>
    <row r="29" spans="1:6" x14ac:dyDescent="0.35">
      <c r="A29" s="16" t="s">
        <v>35</v>
      </c>
      <c r="B29" s="13">
        <v>5000</v>
      </c>
      <c r="C29" s="51" t="s">
        <v>36</v>
      </c>
      <c r="D29" s="34"/>
      <c r="E29" s="34"/>
      <c r="F29" s="35"/>
    </row>
    <row r="30" spans="1:6" x14ac:dyDescent="0.35">
      <c r="A30" s="18" t="s">
        <v>37</v>
      </c>
      <c r="B30" s="19">
        <f>SUM(B25:B29)</f>
        <v>43000</v>
      </c>
      <c r="C30" s="46"/>
      <c r="D30" s="44"/>
      <c r="E30" s="44"/>
      <c r="F30" s="45"/>
    </row>
    <row r="32" spans="1:6" ht="22" customHeight="1" x14ac:dyDescent="0.35">
      <c r="A32" s="43" t="s">
        <v>38</v>
      </c>
      <c r="B32" s="44"/>
      <c r="C32" s="44"/>
      <c r="D32" s="44"/>
      <c r="E32" s="44"/>
      <c r="F32" s="45"/>
    </row>
    <row r="33" spans="1:6" ht="20" customHeight="1" x14ac:dyDescent="0.35">
      <c r="A33" s="41" t="s">
        <v>39</v>
      </c>
      <c r="B33" s="34"/>
      <c r="C33" s="35"/>
      <c r="D33" s="49">
        <f>D12</f>
        <v>620000</v>
      </c>
      <c r="E33" s="34"/>
      <c r="F33" s="35"/>
    </row>
    <row r="34" spans="1:6" ht="20" customHeight="1" x14ac:dyDescent="0.35">
      <c r="A34" s="41" t="s">
        <v>40</v>
      </c>
      <c r="B34" s="34"/>
      <c r="C34" s="35"/>
      <c r="D34" s="54">
        <f>B21</f>
        <v>4900</v>
      </c>
      <c r="E34" s="34"/>
      <c r="F34" s="35"/>
    </row>
    <row r="35" spans="1:6" ht="20" customHeight="1" x14ac:dyDescent="0.35">
      <c r="A35" s="47" t="s">
        <v>41</v>
      </c>
      <c r="B35" s="34"/>
      <c r="C35" s="35"/>
      <c r="D35" s="52">
        <f>B30</f>
        <v>43000</v>
      </c>
      <c r="E35" s="34"/>
      <c r="F35" s="35"/>
    </row>
    <row r="36" spans="1:6" ht="20" customHeight="1" x14ac:dyDescent="0.35">
      <c r="A36" s="53" t="s">
        <v>42</v>
      </c>
      <c r="B36" s="34"/>
      <c r="C36" s="35"/>
      <c r="D36" s="58">
        <f>B30-B21</f>
        <v>38100</v>
      </c>
      <c r="E36" s="34"/>
      <c r="F36" s="35"/>
    </row>
    <row r="37" spans="1:6" ht="20" customHeight="1" x14ac:dyDescent="0.35">
      <c r="A37" s="36" t="s">
        <v>43</v>
      </c>
      <c r="B37" s="34"/>
      <c r="C37" s="35"/>
      <c r="D37" s="42">
        <v>3</v>
      </c>
      <c r="E37" s="34"/>
      <c r="F37" s="35"/>
    </row>
    <row r="38" spans="1:6" ht="20" customHeight="1" x14ac:dyDescent="0.35">
      <c r="A38" s="33" t="s">
        <v>44</v>
      </c>
      <c r="B38" s="34"/>
      <c r="C38" s="35"/>
      <c r="D38" s="50">
        <f>IF(D36&gt;0, D12/D36, 999)</f>
        <v>16.27296587926509</v>
      </c>
      <c r="E38" s="34"/>
      <c r="F38" s="35"/>
    </row>
    <row r="39" spans="1:6" ht="20" customHeight="1" x14ac:dyDescent="0.35">
      <c r="A39" s="47" t="s">
        <v>45</v>
      </c>
      <c r="B39" s="34"/>
      <c r="C39" s="35"/>
      <c r="D39" s="48">
        <f>D36*D37*12</f>
        <v>1371600</v>
      </c>
      <c r="E39" s="34"/>
      <c r="F39" s="35"/>
    </row>
    <row r="40" spans="1:6" ht="20" customHeight="1" x14ac:dyDescent="0.35">
      <c r="A40" s="53" t="s">
        <v>46</v>
      </c>
      <c r="B40" s="34"/>
      <c r="C40" s="35"/>
      <c r="D40" s="57">
        <f>D36*D37*12-D12</f>
        <v>751600</v>
      </c>
      <c r="E40" s="34"/>
      <c r="F40" s="35"/>
    </row>
    <row r="41" spans="1:6" ht="20" customHeight="1" x14ac:dyDescent="0.35">
      <c r="A41" s="33" t="s">
        <v>47</v>
      </c>
      <c r="B41" s="34"/>
      <c r="C41" s="35"/>
      <c r="D41" s="37">
        <f>IF(D12&gt;0,(D36*D37*12-D12)/D12,0)</f>
        <v>1.2122580645161289</v>
      </c>
      <c r="E41" s="34"/>
      <c r="F41" s="35"/>
    </row>
    <row r="43" spans="1:6" ht="22" customHeight="1" x14ac:dyDescent="0.35">
      <c r="A43" s="43" t="s">
        <v>48</v>
      </c>
      <c r="B43" s="44"/>
      <c r="C43" s="44"/>
      <c r="D43" s="44"/>
      <c r="E43" s="44"/>
      <c r="F43" s="45"/>
    </row>
    <row r="44" spans="1:6" x14ac:dyDescent="0.35">
      <c r="A44" s="2" t="s">
        <v>49</v>
      </c>
      <c r="B44" s="2" t="s">
        <v>50</v>
      </c>
      <c r="C44" s="2" t="s">
        <v>51</v>
      </c>
      <c r="D44" s="2" t="s">
        <v>52</v>
      </c>
      <c r="E44" s="2" t="s">
        <v>53</v>
      </c>
      <c r="F44" s="2"/>
    </row>
    <row r="45" spans="1:6" ht="16" customHeight="1" x14ac:dyDescent="0.35">
      <c r="A45" s="20">
        <v>1</v>
      </c>
      <c r="B45" s="8">
        <f>D12+B21*1</f>
        <v>624900</v>
      </c>
      <c r="C45" s="8">
        <f>B30*1</f>
        <v>43000</v>
      </c>
      <c r="D45" s="8">
        <f>B30*1-(D12+B21*1)</f>
        <v>-581900</v>
      </c>
      <c r="E45" s="21" t="str">
        <f>IF(B30*1-(D12+B21*1)&gt;=0,"✅ Окупился","⏳ В процессе")</f>
        <v>⏳ В процессе</v>
      </c>
      <c r="F45" s="7"/>
    </row>
    <row r="46" spans="1:6" ht="16" customHeight="1" x14ac:dyDescent="0.35">
      <c r="A46" s="22">
        <v>2</v>
      </c>
      <c r="B46" s="6">
        <f>D12+B21*2</f>
        <v>629800</v>
      </c>
      <c r="C46" s="6">
        <f>B30*2</f>
        <v>86000</v>
      </c>
      <c r="D46" s="6">
        <f>B30*2-(D12+B21*2)</f>
        <v>-543800</v>
      </c>
      <c r="E46" s="23" t="str">
        <f>IF(B30*2-(D12+B21*2)&gt;=0,"✅ Окупился","⏳ В процессе")</f>
        <v>⏳ В процессе</v>
      </c>
      <c r="F46" s="3"/>
    </row>
    <row r="47" spans="1:6" ht="16" customHeight="1" x14ac:dyDescent="0.35">
      <c r="A47" s="20">
        <v>3</v>
      </c>
      <c r="B47" s="8">
        <f>D12+B21*3</f>
        <v>634700</v>
      </c>
      <c r="C47" s="8">
        <f>B30*3</f>
        <v>129000</v>
      </c>
      <c r="D47" s="8">
        <f>B30*3-(D12+B21*3)</f>
        <v>-505700</v>
      </c>
      <c r="E47" s="21" t="str">
        <f>IF(B30*3-(D12+B21*3)&gt;=0,"✅ Окупился","⏳ В процессе")</f>
        <v>⏳ В процессе</v>
      </c>
      <c r="F47" s="7"/>
    </row>
    <row r="48" spans="1:6" ht="16" customHeight="1" x14ac:dyDescent="0.35">
      <c r="A48" s="22">
        <v>4</v>
      </c>
      <c r="B48" s="6">
        <f>D12+B21*4</f>
        <v>639600</v>
      </c>
      <c r="C48" s="6">
        <f>B30*4</f>
        <v>172000</v>
      </c>
      <c r="D48" s="6">
        <f>B30*4-(D12+B21*4)</f>
        <v>-467600</v>
      </c>
      <c r="E48" s="23" t="str">
        <f>IF(B30*4-(D12+B21*4)&gt;=0,"✅ Окупился","⏳ В процессе")</f>
        <v>⏳ В процессе</v>
      </c>
      <c r="F48" s="3"/>
    </row>
    <row r="49" spans="1:6" ht="16" customHeight="1" x14ac:dyDescent="0.35">
      <c r="A49" s="20">
        <v>5</v>
      </c>
      <c r="B49" s="8">
        <f>D12+B21*5</f>
        <v>644500</v>
      </c>
      <c r="C49" s="8">
        <f>B30*5</f>
        <v>215000</v>
      </c>
      <c r="D49" s="8">
        <f>B30*5-(D12+B21*5)</f>
        <v>-429500</v>
      </c>
      <c r="E49" s="21" t="str">
        <f>IF(B30*5-(D12+B21*5)&gt;=0,"✅ Окупился","⏳ В процессе")</f>
        <v>⏳ В процессе</v>
      </c>
      <c r="F49" s="7"/>
    </row>
    <row r="50" spans="1:6" ht="16" customHeight="1" x14ac:dyDescent="0.35">
      <c r="A50" s="22">
        <v>6</v>
      </c>
      <c r="B50" s="6">
        <f>D12+B21*6</f>
        <v>649400</v>
      </c>
      <c r="C50" s="6">
        <f>B30*6</f>
        <v>258000</v>
      </c>
      <c r="D50" s="6">
        <f>B30*6-(D12+B21*6)</f>
        <v>-391400</v>
      </c>
      <c r="E50" s="23" t="str">
        <f>IF(B30*6-(D12+B21*6)&gt;=0,"✅ Окупился","⏳ В процессе")</f>
        <v>⏳ В процессе</v>
      </c>
      <c r="F50" s="3"/>
    </row>
    <row r="51" spans="1:6" ht="16" customHeight="1" x14ac:dyDescent="0.35">
      <c r="A51" s="20">
        <v>7</v>
      </c>
      <c r="B51" s="8">
        <f>D12+B21*7</f>
        <v>654300</v>
      </c>
      <c r="C51" s="8">
        <f>B30*7</f>
        <v>301000</v>
      </c>
      <c r="D51" s="8">
        <f>B30*7-(D12+B21*7)</f>
        <v>-353300</v>
      </c>
      <c r="E51" s="21" t="str">
        <f>IF(B30*7-(D12+B21*7)&gt;=0,"✅ Окупился","⏳ В процессе")</f>
        <v>⏳ В процессе</v>
      </c>
      <c r="F51" s="7"/>
    </row>
    <row r="52" spans="1:6" ht="16" customHeight="1" x14ac:dyDescent="0.35">
      <c r="A52" s="22">
        <v>8</v>
      </c>
      <c r="B52" s="6">
        <f>D12+B21*8</f>
        <v>659200</v>
      </c>
      <c r="C52" s="6">
        <f>B30*8</f>
        <v>344000</v>
      </c>
      <c r="D52" s="6">
        <f>B30*8-(D12+B21*8)</f>
        <v>-315200</v>
      </c>
      <c r="E52" s="23" t="str">
        <f>IF(B30*8-(D12+B21*8)&gt;=0,"✅ Окупился","⏳ В процессе")</f>
        <v>⏳ В процессе</v>
      </c>
      <c r="F52" s="3"/>
    </row>
    <row r="53" spans="1:6" ht="16" customHeight="1" x14ac:dyDescent="0.35">
      <c r="A53" s="20">
        <v>9</v>
      </c>
      <c r="B53" s="8">
        <f>D12+B21*9</f>
        <v>664100</v>
      </c>
      <c r="C53" s="8">
        <f>B30*9</f>
        <v>387000</v>
      </c>
      <c r="D53" s="8">
        <f>B30*9-(D12+B21*9)</f>
        <v>-277100</v>
      </c>
      <c r="E53" s="21" t="str">
        <f>IF(B30*9-(D12+B21*9)&gt;=0,"✅ Окупился","⏳ В процессе")</f>
        <v>⏳ В процессе</v>
      </c>
      <c r="F53" s="7"/>
    </row>
    <row r="54" spans="1:6" ht="16" customHeight="1" x14ac:dyDescent="0.35">
      <c r="A54" s="22">
        <v>10</v>
      </c>
      <c r="B54" s="6">
        <f>D12+B21*10</f>
        <v>669000</v>
      </c>
      <c r="C54" s="6">
        <f>B30*10</f>
        <v>430000</v>
      </c>
      <c r="D54" s="6">
        <f>B30*10-(D12+B21*10)</f>
        <v>-239000</v>
      </c>
      <c r="E54" s="23" t="str">
        <f>IF(B30*10-(D12+B21*10)&gt;=0,"✅ Окупился","⏳ В процессе")</f>
        <v>⏳ В процессе</v>
      </c>
      <c r="F54" s="3"/>
    </row>
    <row r="55" spans="1:6" ht="16" customHeight="1" x14ac:dyDescent="0.35">
      <c r="A55" s="20">
        <v>11</v>
      </c>
      <c r="B55" s="8">
        <f>D12+B21*11</f>
        <v>673900</v>
      </c>
      <c r="C55" s="8">
        <f>B30*11</f>
        <v>473000</v>
      </c>
      <c r="D55" s="8">
        <f>B30*11-(D12+B21*11)</f>
        <v>-200900</v>
      </c>
      <c r="E55" s="21" t="str">
        <f>IF(B30*11-(D12+B21*11)&gt;=0,"✅ Окупился","⏳ В процессе")</f>
        <v>⏳ В процессе</v>
      </c>
      <c r="F55" s="7"/>
    </row>
    <row r="56" spans="1:6" ht="16" customHeight="1" x14ac:dyDescent="0.35">
      <c r="A56" s="22">
        <v>12</v>
      </c>
      <c r="B56" s="6">
        <f>D12+B21*12</f>
        <v>678800</v>
      </c>
      <c r="C56" s="6">
        <f>B30*12</f>
        <v>516000</v>
      </c>
      <c r="D56" s="6">
        <f>B30*12-(D12+B21*12)</f>
        <v>-162800</v>
      </c>
      <c r="E56" s="23" t="str">
        <f>IF(B30*12-(D12+B21*12)&gt;=0,"✅ Окупился","⏳ В процессе")</f>
        <v>⏳ В процессе</v>
      </c>
      <c r="F56" s="3"/>
    </row>
    <row r="57" spans="1:6" ht="16" customHeight="1" x14ac:dyDescent="0.35">
      <c r="A57" s="20">
        <v>13</v>
      </c>
      <c r="B57" s="8">
        <f>D12+B21*13</f>
        <v>683700</v>
      </c>
      <c r="C57" s="8">
        <f>B30*13</f>
        <v>559000</v>
      </c>
      <c r="D57" s="8">
        <f>B30*13-(D12+B21*13)</f>
        <v>-124700</v>
      </c>
      <c r="E57" s="21" t="str">
        <f>IF(B30*13-(D12+B21*13)&gt;=0,"✅ Окупился","⏳ В процессе")</f>
        <v>⏳ В процессе</v>
      </c>
      <c r="F57" s="7"/>
    </row>
    <row r="58" spans="1:6" ht="16" customHeight="1" x14ac:dyDescent="0.35">
      <c r="A58" s="22">
        <v>14</v>
      </c>
      <c r="B58" s="6">
        <f>D12+B21*14</f>
        <v>688600</v>
      </c>
      <c r="C58" s="6">
        <f>B30*14</f>
        <v>602000</v>
      </c>
      <c r="D58" s="6">
        <f>B30*14-(D12+B21*14)</f>
        <v>-86600</v>
      </c>
      <c r="E58" s="23" t="str">
        <f>IF(B30*14-(D12+B21*14)&gt;=0,"✅ Окупился","⏳ В процессе")</f>
        <v>⏳ В процессе</v>
      </c>
      <c r="F58" s="3"/>
    </row>
    <row r="59" spans="1:6" ht="16" customHeight="1" x14ac:dyDescent="0.35">
      <c r="A59" s="20">
        <v>15</v>
      </c>
      <c r="B59" s="8">
        <f>D12+B21*15</f>
        <v>693500</v>
      </c>
      <c r="C59" s="8">
        <f>B30*15</f>
        <v>645000</v>
      </c>
      <c r="D59" s="8">
        <f>B30*15-(D12+B21*15)</f>
        <v>-48500</v>
      </c>
      <c r="E59" s="21" t="str">
        <f>IF(B30*15-(D12+B21*15)&gt;=0,"✅ Окупился","⏳ В процессе")</f>
        <v>⏳ В процессе</v>
      </c>
      <c r="F59" s="7"/>
    </row>
    <row r="60" spans="1:6" ht="16" customHeight="1" x14ac:dyDescent="0.35">
      <c r="A60" s="22">
        <v>16</v>
      </c>
      <c r="B60" s="6">
        <f>D12+B21*16</f>
        <v>698400</v>
      </c>
      <c r="C60" s="6">
        <f>B30*16</f>
        <v>688000</v>
      </c>
      <c r="D60" s="6">
        <f>B30*16-(D12+B21*16)</f>
        <v>-10400</v>
      </c>
      <c r="E60" s="23" t="str">
        <f>IF(B30*16-(D12+B21*16)&gt;=0,"✅ Окупился","⏳ В процессе")</f>
        <v>⏳ В процессе</v>
      </c>
      <c r="F60" s="3"/>
    </row>
    <row r="61" spans="1:6" ht="16" customHeight="1" x14ac:dyDescent="0.35">
      <c r="A61" s="20">
        <v>17</v>
      </c>
      <c r="B61" s="8">
        <f>D12+B21*17</f>
        <v>703300</v>
      </c>
      <c r="C61" s="8">
        <f>B30*17</f>
        <v>731000</v>
      </c>
      <c r="D61" s="8">
        <f>B30*17-(D12+B21*17)</f>
        <v>27700</v>
      </c>
      <c r="E61" s="21" t="str">
        <f>IF(B30*17-(D12+B21*17)&gt;=0,"✅ Окупился","⏳ В процессе")</f>
        <v>✅ Окупился</v>
      </c>
      <c r="F61" s="7"/>
    </row>
    <row r="62" spans="1:6" ht="16" customHeight="1" x14ac:dyDescent="0.35">
      <c r="A62" s="22">
        <v>18</v>
      </c>
      <c r="B62" s="6">
        <f>D12+B21*18</f>
        <v>708200</v>
      </c>
      <c r="C62" s="6">
        <f>B30*18</f>
        <v>774000</v>
      </c>
      <c r="D62" s="6">
        <f>B30*18-(D12+B21*18)</f>
        <v>65800</v>
      </c>
      <c r="E62" s="23" t="str">
        <f>IF(B30*18-(D12+B21*18)&gt;=0,"✅ Окупился","⏳ В процессе")</f>
        <v>✅ Окупился</v>
      </c>
      <c r="F62" s="3"/>
    </row>
    <row r="63" spans="1:6" ht="16" customHeight="1" x14ac:dyDescent="0.35">
      <c r="A63" s="20">
        <v>19</v>
      </c>
      <c r="B63" s="8">
        <f>D12+B21*19</f>
        <v>713100</v>
      </c>
      <c r="C63" s="8">
        <f>B30*19</f>
        <v>817000</v>
      </c>
      <c r="D63" s="8">
        <f>B30*19-(D12+B21*19)</f>
        <v>103900</v>
      </c>
      <c r="E63" s="21" t="str">
        <f>IF(B30*19-(D12+B21*19)&gt;=0,"✅ Окупился","⏳ В процессе")</f>
        <v>✅ Окупился</v>
      </c>
      <c r="F63" s="7"/>
    </row>
    <row r="64" spans="1:6" ht="16" customHeight="1" x14ac:dyDescent="0.35">
      <c r="A64" s="22">
        <v>20</v>
      </c>
      <c r="B64" s="6">
        <f>D12+B21*20</f>
        <v>718000</v>
      </c>
      <c r="C64" s="6">
        <f>B30*20</f>
        <v>860000</v>
      </c>
      <c r="D64" s="6">
        <f>B30*20-(D12+B21*20)</f>
        <v>142000</v>
      </c>
      <c r="E64" s="23" t="str">
        <f>IF(B30*20-(D12+B21*20)&gt;=0,"✅ Окупился","⏳ В процессе")</f>
        <v>✅ Окупился</v>
      </c>
      <c r="F64" s="3"/>
    </row>
    <row r="65" spans="1:6" ht="16" customHeight="1" x14ac:dyDescent="0.35">
      <c r="A65" s="20">
        <v>21</v>
      </c>
      <c r="B65" s="8">
        <f>D12+B21*21</f>
        <v>722900</v>
      </c>
      <c r="C65" s="8">
        <f>B30*21</f>
        <v>903000</v>
      </c>
      <c r="D65" s="8">
        <f>B30*21-(D12+B21*21)</f>
        <v>180100</v>
      </c>
      <c r="E65" s="21" t="str">
        <f>IF(B30*21-(D12+B21*21)&gt;=0,"✅ Окупился","⏳ В процессе")</f>
        <v>✅ Окупился</v>
      </c>
      <c r="F65" s="7"/>
    </row>
    <row r="66" spans="1:6" ht="16" customHeight="1" x14ac:dyDescent="0.35">
      <c r="A66" s="22">
        <v>22</v>
      </c>
      <c r="B66" s="6">
        <f>D12+B21*22</f>
        <v>727800</v>
      </c>
      <c r="C66" s="6">
        <f>B30*22</f>
        <v>946000</v>
      </c>
      <c r="D66" s="6">
        <f>B30*22-(D12+B21*22)</f>
        <v>218200</v>
      </c>
      <c r="E66" s="23" t="str">
        <f>IF(B30*22-(D12+B21*22)&gt;=0,"✅ Окупился","⏳ В процессе")</f>
        <v>✅ Окупился</v>
      </c>
      <c r="F66" s="3"/>
    </row>
    <row r="67" spans="1:6" ht="16" customHeight="1" x14ac:dyDescent="0.35">
      <c r="A67" s="20">
        <v>23</v>
      </c>
      <c r="B67" s="8">
        <f>D12+B21*23</f>
        <v>732700</v>
      </c>
      <c r="C67" s="8">
        <f>B30*23</f>
        <v>989000</v>
      </c>
      <c r="D67" s="8">
        <f>B30*23-(D12+B21*23)</f>
        <v>256300</v>
      </c>
      <c r="E67" s="21" t="str">
        <f>IF(B30*23-(D12+B21*23)&gt;=0,"✅ Окупился","⏳ В процессе")</f>
        <v>✅ Окупился</v>
      </c>
      <c r="F67" s="7"/>
    </row>
    <row r="68" spans="1:6" ht="16" customHeight="1" x14ac:dyDescent="0.35">
      <c r="A68" s="22">
        <v>24</v>
      </c>
      <c r="B68" s="6">
        <f>D12+B21*24</f>
        <v>737600</v>
      </c>
      <c r="C68" s="6">
        <f>B30*24</f>
        <v>1032000</v>
      </c>
      <c r="D68" s="6">
        <f>B30*24-(D12+B21*24)</f>
        <v>294400</v>
      </c>
      <c r="E68" s="23" t="str">
        <f>IF(B30*24-(D12+B21*24)&gt;=0,"✅ Окупился","⏳ В процессе")</f>
        <v>✅ Окупился</v>
      </c>
      <c r="F68" s="3"/>
    </row>
    <row r="69" spans="1:6" ht="16" customHeight="1" x14ac:dyDescent="0.35">
      <c r="A69" s="20">
        <v>25</v>
      </c>
      <c r="B69" s="8">
        <f>D12+B21*25</f>
        <v>742500</v>
      </c>
      <c r="C69" s="8">
        <f>B30*25</f>
        <v>1075000</v>
      </c>
      <c r="D69" s="8">
        <f>B30*25-(D12+B21*25)</f>
        <v>332500</v>
      </c>
      <c r="E69" s="21" t="str">
        <f>IF(B30*25-(D12+B21*25)&gt;=0,"✅ Окупился","⏳ В процессе")</f>
        <v>✅ Окупился</v>
      </c>
      <c r="F69" s="7"/>
    </row>
    <row r="70" spans="1:6" ht="16" customHeight="1" x14ac:dyDescent="0.35">
      <c r="A70" s="22">
        <v>26</v>
      </c>
      <c r="B70" s="6">
        <f>D12+B21*26</f>
        <v>747400</v>
      </c>
      <c r="C70" s="6">
        <f>B30*26</f>
        <v>1118000</v>
      </c>
      <c r="D70" s="6">
        <f>B30*26-(D12+B21*26)</f>
        <v>370600</v>
      </c>
      <c r="E70" s="23" t="str">
        <f>IF(B30*26-(D12+B21*26)&gt;=0,"✅ Окупился","⏳ В процессе")</f>
        <v>✅ Окупился</v>
      </c>
      <c r="F70" s="3"/>
    </row>
    <row r="71" spans="1:6" ht="16" customHeight="1" x14ac:dyDescent="0.35">
      <c r="A71" s="20">
        <v>27</v>
      </c>
      <c r="B71" s="8">
        <f>D12+B21*27</f>
        <v>752300</v>
      </c>
      <c r="C71" s="8">
        <f>B30*27</f>
        <v>1161000</v>
      </c>
      <c r="D71" s="8">
        <f>B30*27-(D12+B21*27)</f>
        <v>408700</v>
      </c>
      <c r="E71" s="21" t="str">
        <f>IF(B30*27-(D12+B21*27)&gt;=0,"✅ Окупился","⏳ В процессе")</f>
        <v>✅ Окупился</v>
      </c>
      <c r="F71" s="7"/>
    </row>
    <row r="72" spans="1:6" ht="16" customHeight="1" x14ac:dyDescent="0.35">
      <c r="A72" s="22">
        <v>28</v>
      </c>
      <c r="B72" s="6">
        <f>D12+B21*28</f>
        <v>757200</v>
      </c>
      <c r="C72" s="6">
        <f>B30*28</f>
        <v>1204000</v>
      </c>
      <c r="D72" s="6">
        <f>B30*28-(D12+B21*28)</f>
        <v>446800</v>
      </c>
      <c r="E72" s="23" t="str">
        <f>IF(B30*28-(D12+B21*28)&gt;=0,"✅ Окупился","⏳ В процессе")</f>
        <v>✅ Окупился</v>
      </c>
      <c r="F72" s="3"/>
    </row>
    <row r="73" spans="1:6" ht="16" customHeight="1" x14ac:dyDescent="0.35">
      <c r="A73" s="20">
        <v>29</v>
      </c>
      <c r="B73" s="8">
        <f>D12+B21*29</f>
        <v>762100</v>
      </c>
      <c r="C73" s="8">
        <f>B30*29</f>
        <v>1247000</v>
      </c>
      <c r="D73" s="8">
        <f>B30*29-(D12+B21*29)</f>
        <v>484900</v>
      </c>
      <c r="E73" s="21" t="str">
        <f>IF(B30*29-(D12+B21*29)&gt;=0,"✅ Окупился","⏳ В процессе")</f>
        <v>✅ Окупился</v>
      </c>
      <c r="F73" s="7"/>
    </row>
    <row r="74" spans="1:6" ht="16" customHeight="1" x14ac:dyDescent="0.35">
      <c r="A74" s="22">
        <v>30</v>
      </c>
      <c r="B74" s="6">
        <f>D12+B21*30</f>
        <v>767000</v>
      </c>
      <c r="C74" s="6">
        <f>B30*30</f>
        <v>1290000</v>
      </c>
      <c r="D74" s="6">
        <f>B30*30-(D12+B21*30)</f>
        <v>523000</v>
      </c>
      <c r="E74" s="23" t="str">
        <f>IF(B30*30-(D12+B21*30)&gt;=0,"✅ Окупился","⏳ В процессе")</f>
        <v>✅ Окупился</v>
      </c>
      <c r="F74" s="3"/>
    </row>
    <row r="75" spans="1:6" ht="16" customHeight="1" x14ac:dyDescent="0.35">
      <c r="A75" s="20">
        <v>31</v>
      </c>
      <c r="B75" s="8">
        <f>D12+B21*31</f>
        <v>771900</v>
      </c>
      <c r="C75" s="8">
        <f>B30*31</f>
        <v>1333000</v>
      </c>
      <c r="D75" s="8">
        <f>B30*31-(D12+B21*31)</f>
        <v>561100</v>
      </c>
      <c r="E75" s="21" t="str">
        <f>IF(B30*31-(D12+B21*31)&gt;=0,"✅ Окупился","⏳ В процессе")</f>
        <v>✅ Окупился</v>
      </c>
      <c r="F75" s="7"/>
    </row>
    <row r="76" spans="1:6" ht="16" customHeight="1" x14ac:dyDescent="0.35">
      <c r="A76" s="22">
        <v>32</v>
      </c>
      <c r="B76" s="6">
        <f>D12+B21*32</f>
        <v>776800</v>
      </c>
      <c r="C76" s="6">
        <f>B30*32</f>
        <v>1376000</v>
      </c>
      <c r="D76" s="6">
        <f>B30*32-(D12+B21*32)</f>
        <v>599200</v>
      </c>
      <c r="E76" s="23" t="str">
        <f>IF(B30*32-(D12+B21*32)&gt;=0,"✅ Окупился","⏳ В процессе")</f>
        <v>✅ Окупился</v>
      </c>
      <c r="F76" s="3"/>
    </row>
    <row r="77" spans="1:6" ht="16" customHeight="1" x14ac:dyDescent="0.35">
      <c r="A77" s="20">
        <v>33</v>
      </c>
      <c r="B77" s="8">
        <f>D12+B21*33</f>
        <v>781700</v>
      </c>
      <c r="C77" s="8">
        <f>B30*33</f>
        <v>1419000</v>
      </c>
      <c r="D77" s="8">
        <f>B30*33-(D12+B21*33)</f>
        <v>637300</v>
      </c>
      <c r="E77" s="21" t="str">
        <f>IF(B30*33-(D12+B21*33)&gt;=0,"✅ Окупился","⏳ В процессе")</f>
        <v>✅ Окупился</v>
      </c>
      <c r="F77" s="7"/>
    </row>
    <row r="78" spans="1:6" ht="16" customHeight="1" x14ac:dyDescent="0.35">
      <c r="A78" s="22">
        <v>34</v>
      </c>
      <c r="B78" s="6">
        <f>D12+B21*34</f>
        <v>786600</v>
      </c>
      <c r="C78" s="6">
        <f>B30*34</f>
        <v>1462000</v>
      </c>
      <c r="D78" s="6">
        <f>B30*34-(D12+B21*34)</f>
        <v>675400</v>
      </c>
      <c r="E78" s="23" t="str">
        <f>IF(B30*34-(D12+B21*34)&gt;=0,"✅ Окупился","⏳ В процессе")</f>
        <v>✅ Окупился</v>
      </c>
      <c r="F78" s="3"/>
    </row>
    <row r="79" spans="1:6" ht="16" customHeight="1" x14ac:dyDescent="0.35">
      <c r="A79" s="20">
        <v>35</v>
      </c>
      <c r="B79" s="8">
        <f>D12+B21*35</f>
        <v>791500</v>
      </c>
      <c r="C79" s="8">
        <f>B30*35</f>
        <v>1505000</v>
      </c>
      <c r="D79" s="8">
        <f>B30*35-(D12+B21*35)</f>
        <v>713500</v>
      </c>
      <c r="E79" s="21" t="str">
        <f>IF(B30*35-(D12+B21*35)&gt;=0,"✅ Окупился","⏳ В процессе")</f>
        <v>✅ Окупился</v>
      </c>
      <c r="F79" s="7"/>
    </row>
    <row r="80" spans="1:6" ht="16" customHeight="1" x14ac:dyDescent="0.35">
      <c r="A80" s="22">
        <v>36</v>
      </c>
      <c r="B80" s="6">
        <f>D12+B21*36</f>
        <v>796400</v>
      </c>
      <c r="C80" s="6">
        <f>B30*36</f>
        <v>1548000</v>
      </c>
      <c r="D80" s="6">
        <f>B30*36-(D12+B21*36)</f>
        <v>751600</v>
      </c>
      <c r="E80" s="23" t="str">
        <f>IF(B30*36-(D12+B21*36)&gt;=0,"✅ Окупился","⏳ В процессе")</f>
        <v>✅ Окупился</v>
      </c>
      <c r="F80" s="3"/>
    </row>
    <row r="82" spans="1:6" x14ac:dyDescent="0.35">
      <c r="A82" s="55" t="s">
        <v>54</v>
      </c>
      <c r="B82" s="34"/>
      <c r="C82" s="34"/>
      <c r="D82" s="34"/>
      <c r="E82" s="34"/>
      <c r="F82" s="35"/>
    </row>
  </sheetData>
  <mergeCells count="32">
    <mergeCell ref="A82:F82"/>
    <mergeCell ref="A1:F1"/>
    <mergeCell ref="D40:F40"/>
    <mergeCell ref="D36:F36"/>
    <mergeCell ref="C27:F27"/>
    <mergeCell ref="C25:F25"/>
    <mergeCell ref="A34:C34"/>
    <mergeCell ref="A39:C39"/>
    <mergeCell ref="D34:F34"/>
    <mergeCell ref="A36:C36"/>
    <mergeCell ref="A43:F43"/>
    <mergeCell ref="D38:F38"/>
    <mergeCell ref="C26:F26"/>
    <mergeCell ref="C29:F29"/>
    <mergeCell ref="D35:F35"/>
    <mergeCell ref="A40:C40"/>
    <mergeCell ref="A41:C41"/>
    <mergeCell ref="A37:C37"/>
    <mergeCell ref="D41:F41"/>
    <mergeCell ref="C28:F28"/>
    <mergeCell ref="A2:F2"/>
    <mergeCell ref="A33:C33"/>
    <mergeCell ref="D37:F37"/>
    <mergeCell ref="A14:F14"/>
    <mergeCell ref="A23:F23"/>
    <mergeCell ref="A32:F32"/>
    <mergeCell ref="C30:F30"/>
    <mergeCell ref="A4:F4"/>
    <mergeCell ref="A35:C35"/>
    <mergeCell ref="D39:F39"/>
    <mergeCell ref="D33:F33"/>
    <mergeCell ref="A38:C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showGridLines="0" workbookViewId="0">
      <selection activeCell="A14" sqref="A14:C14"/>
    </sheetView>
  </sheetViews>
  <sheetFormatPr defaultRowHeight="14.5" x14ac:dyDescent="0.35"/>
  <cols>
    <col min="1" max="1" width="28" customWidth="1"/>
    <col min="2" max="7" width="14" customWidth="1"/>
  </cols>
  <sheetData>
    <row r="1" spans="1:7" ht="30" customHeight="1" x14ac:dyDescent="0.35">
      <c r="A1" s="60" t="s">
        <v>55</v>
      </c>
      <c r="B1" s="44"/>
      <c r="C1" s="44"/>
      <c r="D1" s="44"/>
      <c r="E1" s="44"/>
      <c r="F1" s="44"/>
      <c r="G1" s="45"/>
    </row>
    <row r="2" spans="1:7" x14ac:dyDescent="0.35">
      <c r="A2" s="39" t="s">
        <v>56</v>
      </c>
      <c r="B2" s="40"/>
      <c r="C2" s="40"/>
      <c r="D2" s="40"/>
      <c r="E2" s="40"/>
      <c r="F2" s="40"/>
      <c r="G2" s="40"/>
    </row>
    <row r="4" spans="1:7" x14ac:dyDescent="0.35">
      <c r="A4" s="62" t="s">
        <v>57</v>
      </c>
      <c r="B4" s="34"/>
      <c r="C4" s="34"/>
      <c r="D4" s="34"/>
      <c r="E4" s="34"/>
      <c r="F4" s="34"/>
      <c r="G4" s="35"/>
    </row>
    <row r="5" spans="1:7" x14ac:dyDescent="0.35">
      <c r="A5" s="2" t="s">
        <v>58</v>
      </c>
      <c r="B5" s="24">
        <v>25000</v>
      </c>
      <c r="C5" s="24">
        <v>35000</v>
      </c>
      <c r="D5" s="24">
        <v>43000</v>
      </c>
      <c r="E5" s="24">
        <v>55000</v>
      </c>
      <c r="F5" s="24">
        <v>70000</v>
      </c>
      <c r="G5" s="24">
        <v>90000</v>
      </c>
    </row>
    <row r="6" spans="1:7" x14ac:dyDescent="0.35">
      <c r="A6" s="25">
        <v>1200</v>
      </c>
      <c r="B6" s="26">
        <v>20.9</v>
      </c>
      <c r="C6" s="26">
        <v>14</v>
      </c>
      <c r="D6" s="27">
        <v>11</v>
      </c>
      <c r="E6" s="27">
        <v>8.4</v>
      </c>
      <c r="F6" s="27">
        <v>6.5</v>
      </c>
      <c r="G6" s="27">
        <v>4.9000000000000004</v>
      </c>
    </row>
    <row r="7" spans="1:7" x14ac:dyDescent="0.35">
      <c r="A7" s="25">
        <v>1500</v>
      </c>
      <c r="B7" s="28">
        <v>26.1</v>
      </c>
      <c r="C7" s="26">
        <v>17.399999999999999</v>
      </c>
      <c r="D7" s="26">
        <v>13.8</v>
      </c>
      <c r="E7" s="27">
        <v>10.5</v>
      </c>
      <c r="F7" s="27">
        <v>8.1</v>
      </c>
      <c r="G7" s="27">
        <v>6.2</v>
      </c>
    </row>
    <row r="8" spans="1:7" x14ac:dyDescent="0.35">
      <c r="A8" s="25">
        <v>1800</v>
      </c>
      <c r="B8" s="28">
        <v>31.3</v>
      </c>
      <c r="C8" s="26">
        <v>20.9</v>
      </c>
      <c r="D8" s="26">
        <v>16.5</v>
      </c>
      <c r="E8" s="26">
        <v>12.6</v>
      </c>
      <c r="F8" s="27">
        <v>9.6999999999999993</v>
      </c>
      <c r="G8" s="27">
        <v>7.4</v>
      </c>
    </row>
    <row r="9" spans="1:7" x14ac:dyDescent="0.35">
      <c r="A9" s="25">
        <v>2000</v>
      </c>
      <c r="B9" s="28">
        <v>34.799999999999997</v>
      </c>
      <c r="C9" s="26">
        <v>23.3</v>
      </c>
      <c r="D9" s="26">
        <v>18.399999999999999</v>
      </c>
      <c r="E9" s="26">
        <v>14</v>
      </c>
      <c r="F9" s="27">
        <v>10.8</v>
      </c>
      <c r="G9" s="27">
        <v>8.1999999999999993</v>
      </c>
    </row>
    <row r="10" spans="1:7" x14ac:dyDescent="0.35">
      <c r="A10" s="25">
        <v>2500</v>
      </c>
      <c r="B10" s="28">
        <v>43.5</v>
      </c>
      <c r="C10" s="28">
        <v>29.1</v>
      </c>
      <c r="D10" s="26">
        <v>23</v>
      </c>
      <c r="E10" s="26">
        <v>17.5</v>
      </c>
      <c r="F10" s="26">
        <v>13.4</v>
      </c>
      <c r="G10" s="27">
        <v>10.3</v>
      </c>
    </row>
    <row r="12" spans="1:7" x14ac:dyDescent="0.35">
      <c r="A12" s="63" t="s">
        <v>120</v>
      </c>
      <c r="B12" s="34"/>
      <c r="C12" s="35"/>
    </row>
    <row r="13" spans="1:7" x14ac:dyDescent="0.35">
      <c r="A13" s="59" t="s">
        <v>121</v>
      </c>
      <c r="B13" s="34"/>
      <c r="C13" s="35"/>
    </row>
    <row r="14" spans="1:7" x14ac:dyDescent="0.35">
      <c r="A14" s="61" t="s">
        <v>122</v>
      </c>
      <c r="B14" s="34"/>
      <c r="C14" s="35"/>
    </row>
  </sheetData>
  <mergeCells count="6">
    <mergeCell ref="A13:C13"/>
    <mergeCell ref="A1:G1"/>
    <mergeCell ref="A14:C14"/>
    <mergeCell ref="A4:G4"/>
    <mergeCell ref="A2:G2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showGridLines="0" workbookViewId="0">
      <selection sqref="A1:C1"/>
    </sheetView>
  </sheetViews>
  <sheetFormatPr defaultRowHeight="14.5" x14ac:dyDescent="0.35"/>
  <cols>
    <col min="1" max="1" width="36" customWidth="1"/>
    <col min="2" max="2" width="22" customWidth="1"/>
    <col min="3" max="3" width="40" customWidth="1"/>
  </cols>
  <sheetData>
    <row r="1" spans="1:3" ht="30" customHeight="1" x14ac:dyDescent="0.35">
      <c r="A1" s="60" t="s">
        <v>59</v>
      </c>
      <c r="B1" s="44"/>
      <c r="C1" s="45"/>
    </row>
    <row r="3" spans="1:3" ht="17" customHeight="1" x14ac:dyDescent="0.35">
      <c r="A3" s="64" t="s">
        <v>60</v>
      </c>
      <c r="B3" s="34"/>
      <c r="C3" s="35"/>
    </row>
    <row r="4" spans="1:3" ht="17" customHeight="1" x14ac:dyDescent="0.35">
      <c r="A4" s="3" t="s">
        <v>61</v>
      </c>
      <c r="B4" s="29" t="s">
        <v>62</v>
      </c>
      <c r="C4" s="30" t="s">
        <v>63</v>
      </c>
    </row>
    <row r="5" spans="1:3" ht="17" customHeight="1" x14ac:dyDescent="0.35">
      <c r="A5" s="7" t="s">
        <v>64</v>
      </c>
      <c r="B5" s="29" t="s">
        <v>65</v>
      </c>
      <c r="C5" s="31" t="s">
        <v>66</v>
      </c>
    </row>
    <row r="6" spans="1:3" ht="17" customHeight="1" x14ac:dyDescent="0.35">
      <c r="A6" s="3" t="s">
        <v>67</v>
      </c>
      <c r="B6" s="29" t="s">
        <v>68</v>
      </c>
      <c r="C6" s="30" t="s">
        <v>69</v>
      </c>
    </row>
    <row r="7" spans="1:3" ht="17" customHeight="1" x14ac:dyDescent="0.35">
      <c r="A7" s="32"/>
      <c r="B7" s="32"/>
      <c r="C7" s="32"/>
    </row>
    <row r="8" spans="1:3" ht="17" customHeight="1" x14ac:dyDescent="0.35">
      <c r="A8" s="64" t="s">
        <v>70</v>
      </c>
      <c r="B8" s="34"/>
      <c r="C8" s="35"/>
    </row>
    <row r="9" spans="1:3" ht="17" customHeight="1" x14ac:dyDescent="0.35">
      <c r="A9" s="7" t="s">
        <v>71</v>
      </c>
      <c r="B9" s="29" t="s">
        <v>72</v>
      </c>
      <c r="C9" s="31" t="s">
        <v>73</v>
      </c>
    </row>
    <row r="10" spans="1:3" ht="17" customHeight="1" x14ac:dyDescent="0.35">
      <c r="A10" s="3" t="s">
        <v>74</v>
      </c>
      <c r="B10" s="29" t="s">
        <v>75</v>
      </c>
      <c r="C10" s="30" t="s">
        <v>76</v>
      </c>
    </row>
    <row r="11" spans="1:3" ht="17" customHeight="1" x14ac:dyDescent="0.35">
      <c r="A11" s="7" t="s">
        <v>77</v>
      </c>
      <c r="B11" s="29" t="s">
        <v>78</v>
      </c>
      <c r="C11" s="31" t="s">
        <v>79</v>
      </c>
    </row>
    <row r="12" spans="1:3" ht="17" customHeight="1" x14ac:dyDescent="0.35">
      <c r="A12" s="32"/>
      <c r="B12" s="32"/>
      <c r="C12" s="32"/>
    </row>
    <row r="13" spans="1:3" ht="17" customHeight="1" x14ac:dyDescent="0.35">
      <c r="A13" s="64" t="s">
        <v>80</v>
      </c>
      <c r="B13" s="34"/>
      <c r="C13" s="35"/>
    </row>
    <row r="14" spans="1:3" ht="17" customHeight="1" x14ac:dyDescent="0.35">
      <c r="A14" s="3" t="s">
        <v>81</v>
      </c>
      <c r="B14" s="29" t="s">
        <v>82</v>
      </c>
      <c r="C14" s="30" t="s">
        <v>83</v>
      </c>
    </row>
    <row r="15" spans="1:3" ht="17" customHeight="1" x14ac:dyDescent="0.35">
      <c r="A15" s="7" t="s">
        <v>84</v>
      </c>
      <c r="B15" s="29" t="s">
        <v>85</v>
      </c>
      <c r="C15" s="31" t="s">
        <v>86</v>
      </c>
    </row>
    <row r="16" spans="1:3" ht="17" customHeight="1" x14ac:dyDescent="0.35">
      <c r="A16" s="3" t="s">
        <v>87</v>
      </c>
      <c r="B16" s="29" t="s">
        <v>88</v>
      </c>
      <c r="C16" s="30"/>
    </row>
    <row r="17" spans="1:3" ht="17" customHeight="1" x14ac:dyDescent="0.35">
      <c r="A17" s="7" t="s">
        <v>89</v>
      </c>
      <c r="B17" s="29" t="s">
        <v>90</v>
      </c>
      <c r="C17" s="31" t="s">
        <v>91</v>
      </c>
    </row>
    <row r="18" spans="1:3" ht="17" customHeight="1" x14ac:dyDescent="0.35">
      <c r="A18" s="32"/>
      <c r="B18" s="32"/>
      <c r="C18" s="32"/>
    </row>
    <row r="19" spans="1:3" ht="17" customHeight="1" x14ac:dyDescent="0.35">
      <c r="A19" s="64" t="s">
        <v>92</v>
      </c>
      <c r="B19" s="34"/>
      <c r="C19" s="35"/>
    </row>
    <row r="20" spans="1:3" ht="17" customHeight="1" x14ac:dyDescent="0.35">
      <c r="A20" s="3" t="s">
        <v>93</v>
      </c>
      <c r="B20" s="29" t="s">
        <v>94</v>
      </c>
      <c r="C20" s="30" t="s">
        <v>95</v>
      </c>
    </row>
    <row r="21" spans="1:3" ht="17" customHeight="1" x14ac:dyDescent="0.35">
      <c r="A21" s="7" t="s">
        <v>96</v>
      </c>
      <c r="B21" s="29" t="s">
        <v>97</v>
      </c>
      <c r="C21" s="31" t="s">
        <v>98</v>
      </c>
    </row>
    <row r="22" spans="1:3" ht="17" customHeight="1" x14ac:dyDescent="0.35">
      <c r="A22" s="3" t="s">
        <v>99</v>
      </c>
      <c r="B22" s="29" t="s">
        <v>100</v>
      </c>
      <c r="C22" s="30" t="s">
        <v>101</v>
      </c>
    </row>
    <row r="23" spans="1:3" ht="17" customHeight="1" x14ac:dyDescent="0.35">
      <c r="A23" s="7" t="s">
        <v>102</v>
      </c>
      <c r="B23" s="29" t="s">
        <v>103</v>
      </c>
      <c r="C23" s="31" t="s">
        <v>104</v>
      </c>
    </row>
    <row r="24" spans="1:3" ht="17" customHeight="1" x14ac:dyDescent="0.35">
      <c r="A24" s="3" t="s">
        <v>105</v>
      </c>
      <c r="B24" s="29" t="s">
        <v>106</v>
      </c>
      <c r="C24" s="30" t="s">
        <v>107</v>
      </c>
    </row>
    <row r="25" spans="1:3" ht="17" customHeight="1" x14ac:dyDescent="0.35">
      <c r="A25" s="7" t="s">
        <v>108</v>
      </c>
      <c r="B25" s="29" t="s">
        <v>103</v>
      </c>
      <c r="C25" s="31" t="s">
        <v>109</v>
      </c>
    </row>
    <row r="26" spans="1:3" ht="17" customHeight="1" x14ac:dyDescent="0.35">
      <c r="A26" s="32"/>
      <c r="B26" s="32"/>
      <c r="C26" s="32"/>
    </row>
    <row r="27" spans="1:3" ht="17" customHeight="1" x14ac:dyDescent="0.35">
      <c r="A27" s="64" t="s">
        <v>110</v>
      </c>
      <c r="B27" s="34"/>
      <c r="C27" s="35"/>
    </row>
    <row r="28" spans="1:3" ht="17" customHeight="1" x14ac:dyDescent="0.35">
      <c r="A28" s="3" t="s">
        <v>111</v>
      </c>
      <c r="B28" s="29" t="s">
        <v>112</v>
      </c>
      <c r="C28" s="30" t="s">
        <v>113</v>
      </c>
    </row>
    <row r="29" spans="1:3" ht="17" customHeight="1" x14ac:dyDescent="0.35">
      <c r="A29" s="7" t="s">
        <v>114</v>
      </c>
      <c r="B29" s="29" t="s">
        <v>115</v>
      </c>
      <c r="C29" s="31" t="s">
        <v>116</v>
      </c>
    </row>
    <row r="30" spans="1:3" ht="17" customHeight="1" x14ac:dyDescent="0.35">
      <c r="A30" s="3" t="s">
        <v>117</v>
      </c>
      <c r="B30" s="29" t="s">
        <v>118</v>
      </c>
      <c r="C30" s="30" t="s">
        <v>119</v>
      </c>
    </row>
  </sheetData>
  <mergeCells count="6">
    <mergeCell ref="A19:C19"/>
    <mergeCell ref="A13:C13"/>
    <mergeCell ref="A1:C1"/>
    <mergeCell ref="A8:C8"/>
    <mergeCell ref="A27:C27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Экономика</vt:lpstr>
      <vt:lpstr>Чувствительность</vt:lpstr>
      <vt:lpstr>Допущения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Gmitrii Gubskii</cp:lastModifiedBy>
  <dcterms:created xsi:type="dcterms:W3CDTF">2026-03-18T18:00:09Z</dcterms:created>
  <dcterms:modified xsi:type="dcterms:W3CDTF">2026-03-18T18:15:11Z</dcterms:modified>
</cp:coreProperties>
</file>